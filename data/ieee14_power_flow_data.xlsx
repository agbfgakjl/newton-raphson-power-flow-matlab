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17ade86dcd48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1ee8a4a405444942"/>
    <x:sheet xmlns:r="http://schemas.openxmlformats.org/officeDocument/2006/relationships" name="Buses" sheetId="2" r:id="R4aed19fe998341bf"/>
    <x:sheet xmlns:r="http://schemas.openxmlformats.org/officeDocument/2006/relationships" name="Branches" sheetId="3" r:id="R493ba4fc55f749f4"/>
    <x:sheet xmlns:r="http://schemas.openxmlformats.org/officeDocument/2006/relationships" name="Overview" sheetId="4" r:id="R61dd32930e134724"/>
    <x:sheet xmlns:r="http://schemas.openxmlformats.org/officeDocument/2006/relationships" name="Field_Guide" sheetId="5" r:id="Ra23bfb27479d422e"/>
    <x:sheet xmlns:r="http://schemas.openxmlformats.org/officeDocument/2006/relationships" name="Sources" sheetId="6" r:id="R4feff4444ad34f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00"/>
    <x:numFmt numFmtId="201" formatCode="0"/>
    <x:numFmt numFmtId="202" formatCode="0.0000"/>
    <x:numFmt numFmtId="203" formatCode="0.00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color rgb="FF5C43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A4A"/>
      </x:patternFill>
    </x:fill>
    <x:fill>
      <x:patternFill patternType="solid">
        <x:fgColor rgb="FF287A8B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DE68A"/>
        </x:patternFill>
      </x:fill>
    </x:dxf>
    <x:dxf>
      <x:font>
        <x:color rgb="FF1E3A8A"/>
      </x:font>
      <x:fill>
        <x:patternFill patternType="solid">
          <x:bgColor rgb="FFDBEAFE"/>
        </x:patternFill>
      </x:fill>
    </x:dxf>
    <x:dxf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c0515f077e490e" /><Relationship Type="http://schemas.openxmlformats.org/officeDocument/2006/relationships/theme" Target="/xl/theme/theme1.xml" Id="Rdde33eabff3c4071" /><Relationship Type="http://schemas.openxmlformats.org/officeDocument/2006/relationships/sharedStrings" Target="/xl/sharedStrings.xml" Id="Ra479c9e7ba1947f1" /><Relationship Type="http://schemas.openxmlformats.org/officeDocument/2006/relationships/worksheet" Target="/xl/worksheets/sheet1.xml" Id="R1ee8a4a405444942" /><Relationship Type="http://schemas.openxmlformats.org/officeDocument/2006/relationships/worksheet" Target="/xl/worksheets/sheet2.xml" Id="R4aed19fe998341bf" /><Relationship Type="http://schemas.openxmlformats.org/officeDocument/2006/relationships/worksheet" Target="/xl/worksheets/sheet3.xml" Id="R493ba4fc55f749f4" /><Relationship Type="http://schemas.openxmlformats.org/officeDocument/2006/relationships/worksheet" Target="/xl/worksheets/sheet4.xml" Id="R61dd32930e134724" /><Relationship Type="http://schemas.openxmlformats.org/officeDocument/2006/relationships/worksheet" Target="/xl/worksheets/sheet5.xml" Id="Ra23bfb27479d422e" /><Relationship Type="http://schemas.openxmlformats.org/officeDocument/2006/relationships/worksheet" Target="/xl/worksheets/sheet6.xml" Id="R4feff4444ad34f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16" hidden="0" customWidth="1"/>
    <x:col min="4" max="4" width="22" hidden="0" customWidth="1"/>
    <x:col min="5" max="5" width="22" hidden="0" customWidth="1"/>
    <x:col min="6" max="6" width="18" hidden="0" customWidth="1"/>
    <x:col min="7" max="7" width="54" hidden="0" customWidth="1"/>
  </x:cols>
  <x:sheetData>
    <x:row r="1" ht="30" customHeight="1">
      <x:c r="A1" s="4" t="str">
        <x:v>Newton-Raphson Power Flow — Solver Settings</x:v>
      </x:c>
      <x:c r="B1" s="4"/>
      <x:c r="C1" s="4"/>
      <x:c r="D1" s="4"/>
      <x:c r="E1" s="4"/>
      <x:c r="F1" s="4"/>
      <x:c r="G1" s="4"/>
    </x:row>
    <x:row r="3">
      <x:c r="A3" s="12" t="str">
        <x:v>BaseMVA</x:v>
      </x:c>
      <x:c r="B3" s="12" t="str">
        <x:v>Tolerance_pu</x:v>
      </x:c>
      <x:c r="C3" s="12" t="str">
        <x:v>MaxIterations</x:v>
      </x:c>
      <x:c r="D3" s="12" t="str">
        <x:v>VoltageWarningMin_pu</x:v>
      </x:c>
      <x:c r="E3" s="12" t="str">
        <x:v>VoltageWarningMax_pu</x:v>
      </x:c>
      <x:c r="F3" s="12" t="str">
        <x:v>CaseName</x:v>
      </x:c>
      <x:c r="G3" s="12" t="str">
        <x:v>Description</x:v>
      </x:c>
    </x:row>
    <x:row r="4">
      <x:c r="A4" s="18" t="n">
        <x:v>100</x:v>
      </x:c>
      <x:c r="B4" s="18" t="n">
        <x:v>1e-8</x:v>
      </x:c>
      <x:c r="C4" s="20" t="n">
        <x:v>30</x:v>
      </x:c>
      <x:c r="D4" s="18" t="n">
        <x:v>0.94</x:v>
      </x:c>
      <x:c r="E4" s="18" t="n">
        <x:v>1.06</x:v>
      </x:c>
      <x:c r="F4" t="str">
        <x:v>IEEE 14-Bus</x:v>
      </x:c>
      <x:c r="G4" t="str">
        <x:v>Balanced positive-sequence AC power flow; Newton-Raphson polar formulation</x:v>
      </x:c>
    </x:row>
    <x:row r="6">
      <x:c r="A6" s="24" t="str">
        <x:v>Edit only row 4 when changing solver settings. The supplied warning range intentionally highlights buses above 1.06 p.u.</x:v>
      </x:c>
      <x:c r="B6" s="24"/>
      <x:c r="C6" s="24"/>
      <x:c r="D6" s="24"/>
      <x:c r="E6" s="24"/>
      <x:c r="F6" s="24"/>
      <x:c r="G6" s="24"/>
    </x:row>
    <x:row r="7">
      <x:c r="A7" s="24"/>
      <x:c r="B7" s="24"/>
      <x:c r="C7" s="24"/>
      <x:c r="D7" s="24"/>
      <x:c r="E7" s="24"/>
      <x:c r="F7" s="24"/>
      <x:c r="G7" s="24"/>
    </x:row>
  </x:sheetData>
  <x:mergeCells>
    <x:mergeCell ref="A1:G1"/>
    <x:mergeCell ref="A6:G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12" hidden="0" customWidth="1"/>
    <x:col min="4" max="4" width="13" hidden="0" customWidth="1"/>
    <x:col min="5" max="5" width="12" hidden="0" customWidth="1"/>
    <x:col min="6" max="6" width="13" hidden="0" customWidth="1"/>
    <x:col min="7" max="7" width="16" hidden="0" customWidth="1"/>
    <x:col min="8" max="8" width="16" hidden="0" customWidth="1"/>
    <x:col min="9" max="9" width="11" hidden="0" customWidth="1"/>
    <x:col min="10" max="10" width="12" hidden="0" customWidth="1"/>
    <x:col min="11" max="11" width="47" hidden="0" customWidth="1"/>
  </x:cols>
  <x:sheetData>
    <x:row r="1" ht="30" customHeight="1">
      <x:c r="A1" s="4" t="str">
        <x:v>IEEE 14-Bus Node Data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2" t="str">
        <x:v>BusID</x:v>
      </x:c>
      <x:c r="B3" s="12" t="str">
        <x:v>BusType</x:v>
      </x:c>
      <x:c r="C3" s="12" t="str">
        <x:v>Pd_MW</x:v>
      </x:c>
      <x:c r="D3" s="12" t="str">
        <x:v>Qd_Mvar</x:v>
      </x:c>
      <x:c r="E3" s="12" t="str">
        <x:v>Pg_MW</x:v>
      </x:c>
      <x:c r="F3" s="12" t="str">
        <x:v>Qg_Mvar</x:v>
      </x:c>
      <x:c r="G3" s="12" t="str">
        <x:v>VmInitial_pu</x:v>
      </x:c>
      <x:c r="H3" s="12" t="str">
        <x:v>VaInitial_deg</x:v>
      </x:c>
      <x:c r="I3" s="12" t="str">
        <x:v>Gs_MW</x:v>
      </x:c>
      <x:c r="J3" s="12" t="str">
        <x:v>Bs_Mvar</x:v>
      </x:c>
      <x:c r="K3" s="12" t="str">
        <x:v>Comment</x:v>
      </x:c>
    </x:row>
    <x:row r="4">
      <x:c r="A4" s="30" t="n">
        <x:v>1</x:v>
      </x:c>
      <x:c r="B4" s="30" t="str">
        <x:v>Slack</x:v>
      </x:c>
      <x:c r="C4" s="31" t="n">
        <x:v>0</x:v>
      </x:c>
      <x:c r="D4" s="31" t="n">
        <x:v>0</x:v>
      </x:c>
      <x:c r="E4" s="31" t="n">
        <x:v>232.4</x:v>
      </x:c>
      <x:c r="F4" s="31" t="n">
        <x:v>-16.9</x:v>
      </x:c>
      <x:c r="G4" s="31" t="n">
        <x:v>1.06</x:v>
      </x:c>
      <x:c r="H4" s="31" t="n">
        <x:v>0</x:v>
      </x:c>
      <x:c r="I4" s="31" t="n">
        <x:v>0</x:v>
      </x:c>
      <x:c r="J4" s="31" t="n">
        <x:v>0</x:v>
      </x:c>
      <x:c r="K4" s="30" t="str">
        <x:v>Reference bus; Pg/Qg values are reference inputs</x:v>
      </x:c>
    </x:row>
    <x:row r="5">
      <x:c r="A5" s="30" t="n">
        <x:v>2</x:v>
      </x:c>
      <x:c r="B5" s="30" t="str">
        <x:v>PV</x:v>
      </x:c>
      <x:c r="C5" s="31" t="n">
        <x:v>21.7</x:v>
      </x:c>
      <x:c r="D5" s="31" t="n">
        <x:v>12.7</x:v>
      </x:c>
      <x:c r="E5" s="31" t="n">
        <x:v>40</x:v>
      </x:c>
      <x:c r="F5" s="31" t="n">
        <x:v>42.4</x:v>
      </x:c>
      <x:c r="G5" s="31" t="n">
        <x:v>1.045</x:v>
      </x:c>
      <x:c r="H5" s="31" t="n">
        <x:v>0</x:v>
      </x:c>
      <x:c r="I5" s="31" t="n">
        <x:v>0</x:v>
      </x:c>
      <x:c r="J5" s="31" t="n">
        <x:v>0</x:v>
      </x:c>
      <x:c r="K5" s="30" t="str">
        <x:v>Voltage-controlled generator bus</x:v>
      </x:c>
    </x:row>
    <x:row r="6">
      <x:c r="A6" s="30" t="n">
        <x:v>3</x:v>
      </x:c>
      <x:c r="B6" s="30" t="str">
        <x:v>PV</x:v>
      </x:c>
      <x:c r="C6" s="31" t="n">
        <x:v>94.2</x:v>
      </x:c>
      <x:c r="D6" s="31" t="n">
        <x:v>19</x:v>
      </x:c>
      <x:c r="E6" s="31" t="n">
        <x:v>0</x:v>
      </x:c>
      <x:c r="F6" s="31" t="n">
        <x:v>23.4</x:v>
      </x:c>
      <x:c r="G6" s="31" t="n">
        <x:v>1.01</x:v>
      </x:c>
      <x:c r="H6" s="31" t="n">
        <x:v>0</x:v>
      </x:c>
      <x:c r="I6" s="31" t="n">
        <x:v>0</x:v>
      </x:c>
      <x:c r="J6" s="31" t="n">
        <x:v>0</x:v>
      </x:c>
      <x:c r="K6" s="30" t="str">
        <x:v>Voltage-controlled generator bus</x:v>
      </x:c>
    </x:row>
    <x:row r="7">
      <x:c r="A7" s="30" t="n">
        <x:v>4</x:v>
      </x:c>
      <x:c r="B7" s="30" t="str">
        <x:v>PQ</x:v>
      </x:c>
      <x:c r="C7" s="31" t="n">
        <x:v>47.8</x:v>
      </x:c>
      <x:c r="D7" s="31" t="n">
        <x:v>-3.9</x:v>
      </x:c>
      <x:c r="E7" s="31" t="n">
        <x:v>0</x:v>
      </x:c>
      <x:c r="F7" s="31" t="n">
        <x:v>0</x:v>
      </x:c>
      <x:c r="G7" s="31" t="n">
        <x:v>1</x:v>
      </x:c>
      <x:c r="H7" s="31" t="n">
        <x:v>0</x:v>
      </x:c>
      <x:c r="I7" s="31" t="n">
        <x:v>0</x:v>
      </x:c>
      <x:c r="J7" s="31" t="n">
        <x:v>0</x:v>
      </x:c>
      <x:c r="K7" s="30" t="str">
        <x:v>Load bus</x:v>
      </x:c>
    </x:row>
    <x:row r="8">
      <x:c r="A8" s="30" t="n">
        <x:v>5</x:v>
      </x:c>
      <x:c r="B8" s="30" t="str">
        <x:v>PQ</x:v>
      </x:c>
      <x:c r="C8" s="31" t="n">
        <x:v>7.6</x:v>
      </x:c>
      <x:c r="D8" s="31" t="n">
        <x:v>1.6</x:v>
      </x:c>
      <x:c r="E8" s="31" t="n">
        <x:v>0</x:v>
      </x:c>
      <x:c r="F8" s="31" t="n">
        <x:v>0</x:v>
      </x:c>
      <x:c r="G8" s="31" t="n">
        <x:v>1</x:v>
      </x:c>
      <x:c r="H8" s="31" t="n">
        <x:v>0</x:v>
      </x:c>
      <x:c r="I8" s="31" t="n">
        <x:v>0</x:v>
      </x:c>
      <x:c r="J8" s="31" t="n">
        <x:v>0</x:v>
      </x:c>
      <x:c r="K8" s="30" t="str">
        <x:v>Load bus</x:v>
      </x:c>
    </x:row>
    <x:row r="9">
      <x:c r="A9" s="30" t="n">
        <x:v>6</x:v>
      </x:c>
      <x:c r="B9" s="30" t="str">
        <x:v>PV</x:v>
      </x:c>
      <x:c r="C9" s="31" t="n">
        <x:v>11.2</x:v>
      </x:c>
      <x:c r="D9" s="31" t="n">
        <x:v>7.5</x:v>
      </x:c>
      <x:c r="E9" s="31" t="n">
        <x:v>0</x:v>
      </x:c>
      <x:c r="F9" s="31" t="n">
        <x:v>12.2</x:v>
      </x:c>
      <x:c r="G9" s="31" t="n">
        <x:v>1.07</x:v>
      </x:c>
      <x:c r="H9" s="31" t="n">
        <x:v>0</x:v>
      </x:c>
      <x:c r="I9" s="31" t="n">
        <x:v>0</x:v>
      </x:c>
      <x:c r="J9" s="31" t="n">
        <x:v>0</x:v>
      </x:c>
      <x:c r="K9" s="30" t="str">
        <x:v>Voltage-controlled generator bus</x:v>
      </x:c>
    </x:row>
    <x:row r="10">
      <x:c r="A10" s="30" t="n">
        <x:v>7</x:v>
      </x:c>
      <x:c r="B10" s="30" t="str">
        <x:v>PQ</x:v>
      </x:c>
      <x:c r="C10" s="31" t="n">
        <x:v>0</x:v>
      </x:c>
      <x:c r="D10" s="31" t="n">
        <x:v>0</x:v>
      </x:c>
      <x:c r="E10" s="31" t="n">
        <x:v>0</x:v>
      </x:c>
      <x:c r="F10" s="31" t="n">
        <x:v>0</x:v>
      </x:c>
      <x:c r="G10" s="31" t="n">
        <x:v>1</x:v>
      </x:c>
      <x:c r="H10" s="31" t="n">
        <x:v>0</x:v>
      </x:c>
      <x:c r="I10" s="31" t="n">
        <x:v>0</x:v>
      </x:c>
      <x:c r="J10" s="31" t="n">
        <x:v>0</x:v>
      </x:c>
      <x:c r="K10" s="30" t="str">
        <x:v>Transfer bus</x:v>
      </x:c>
    </x:row>
    <x:row r="11">
      <x:c r="A11" s="30" t="n">
        <x:v>8</x:v>
      </x:c>
      <x:c r="B11" s="30" t="str">
        <x:v>PV</x:v>
      </x:c>
      <x:c r="C11" s="31" t="n">
        <x:v>0</x:v>
      </x:c>
      <x:c r="D11" s="31" t="n">
        <x:v>0</x:v>
      </x:c>
      <x:c r="E11" s="31" t="n">
        <x:v>0</x:v>
      </x:c>
      <x:c r="F11" s="31" t="n">
        <x:v>17.4</x:v>
      </x:c>
      <x:c r="G11" s="31" t="n">
        <x:v>1.09</x:v>
      </x:c>
      <x:c r="H11" s="31" t="n">
        <x:v>0</x:v>
      </x:c>
      <x:c r="I11" s="31" t="n">
        <x:v>0</x:v>
      </x:c>
      <x:c r="J11" s="31" t="n">
        <x:v>0</x:v>
      </x:c>
      <x:c r="K11" s="30" t="str">
        <x:v>Voltage-controlled generator bus</x:v>
      </x:c>
    </x:row>
    <x:row r="12">
      <x:c r="A12" s="30" t="n">
        <x:v>9</x:v>
      </x:c>
      <x:c r="B12" s="30" t="str">
        <x:v>PQ</x:v>
      </x:c>
      <x:c r="C12" s="31" t="n">
        <x:v>29.5</x:v>
      </x:c>
      <x:c r="D12" s="31" t="n">
        <x:v>16.6</x:v>
      </x:c>
      <x:c r="E12" s="31" t="n">
        <x:v>0</x:v>
      </x:c>
      <x:c r="F12" s="31" t="n">
        <x:v>0</x:v>
      </x:c>
      <x:c r="G12" s="31" t="n">
        <x:v>1</x:v>
      </x:c>
      <x:c r="H12" s="31" t="n">
        <x:v>0</x:v>
      </x:c>
      <x:c r="I12" s="31" t="n">
        <x:v>0</x:v>
      </x:c>
      <x:c r="J12" s="31" t="n">
        <x:v>19</x:v>
      </x:c>
      <x:c r="K12" s="30" t="str">
        <x:v>Load bus with shunt susceptance</x:v>
      </x:c>
    </x:row>
    <x:row r="13">
      <x:c r="A13" s="30" t="n">
        <x:v>10</x:v>
      </x:c>
      <x:c r="B13" s="30" t="str">
        <x:v>PQ</x:v>
      </x:c>
      <x:c r="C13" s="31" t="n">
        <x:v>9</x:v>
      </x:c>
      <x:c r="D13" s="31" t="n">
        <x:v>5.8</x:v>
      </x:c>
      <x:c r="E13" s="31" t="n">
        <x:v>0</x:v>
      </x:c>
      <x:c r="F13" s="31" t="n">
        <x:v>0</x:v>
      </x:c>
      <x:c r="G13" s="31" t="n">
        <x:v>1</x:v>
      </x:c>
      <x:c r="H13" s="31" t="n">
        <x:v>0</x:v>
      </x:c>
      <x:c r="I13" s="31" t="n">
        <x:v>0</x:v>
      </x:c>
      <x:c r="J13" s="31" t="n">
        <x:v>0</x:v>
      </x:c>
      <x:c r="K13" s="30" t="str">
        <x:v>Load bus</x:v>
      </x:c>
    </x:row>
    <x:row r="14">
      <x:c r="A14" s="30" t="n">
        <x:v>11</x:v>
      </x:c>
      <x:c r="B14" s="30" t="str">
        <x:v>PQ</x:v>
      </x:c>
      <x:c r="C14" s="31" t="n">
        <x:v>3.5</x:v>
      </x:c>
      <x:c r="D14" s="31" t="n">
        <x:v>1.8</x:v>
      </x:c>
      <x:c r="E14" s="31" t="n">
        <x:v>0</x:v>
      </x:c>
      <x:c r="F14" s="31" t="n">
        <x:v>0</x:v>
      </x:c>
      <x:c r="G14" s="31" t="n">
        <x:v>1</x:v>
      </x:c>
      <x:c r="H14" s="31" t="n">
        <x:v>0</x:v>
      </x:c>
      <x:c r="I14" s="31" t="n">
        <x:v>0</x:v>
      </x:c>
      <x:c r="J14" s="31" t="n">
        <x:v>0</x:v>
      </x:c>
      <x:c r="K14" s="30" t="str">
        <x:v>Load bus</x:v>
      </x:c>
    </x:row>
    <x:row r="15">
      <x:c r="A15" s="30" t="n">
        <x:v>12</x:v>
      </x:c>
      <x:c r="B15" s="30" t="str">
        <x:v>PQ</x:v>
      </x:c>
      <x:c r="C15" s="31" t="n">
        <x:v>6.1</x:v>
      </x:c>
      <x:c r="D15" s="31" t="n">
        <x:v>1.6</x:v>
      </x:c>
      <x:c r="E15" s="31" t="n">
        <x:v>0</x:v>
      </x:c>
      <x:c r="F15" s="31" t="n">
        <x:v>0</x:v>
      </x:c>
      <x:c r="G15" s="31" t="n">
        <x:v>1</x:v>
      </x:c>
      <x:c r="H15" s="31" t="n">
        <x:v>0</x:v>
      </x:c>
      <x:c r="I15" s="31" t="n">
        <x:v>0</x:v>
      </x:c>
      <x:c r="J15" s="31" t="n">
        <x:v>0</x:v>
      </x:c>
      <x:c r="K15" s="30" t="str">
        <x:v>Load bus</x:v>
      </x:c>
    </x:row>
    <x:row r="16">
      <x:c r="A16" s="30" t="n">
        <x:v>13</x:v>
      </x:c>
      <x:c r="B16" s="30" t="str">
        <x:v>PQ</x:v>
      </x:c>
      <x:c r="C16" s="31" t="n">
        <x:v>13.5</x:v>
      </x:c>
      <x:c r="D16" s="31" t="n">
        <x:v>5.8</x:v>
      </x:c>
      <x:c r="E16" s="31" t="n">
        <x:v>0</x:v>
      </x:c>
      <x:c r="F16" s="31" t="n">
        <x:v>0</x:v>
      </x:c>
      <x:c r="G16" s="31" t="n">
        <x:v>1</x:v>
      </x:c>
      <x:c r="H16" s="31" t="n">
        <x:v>0</x:v>
      </x:c>
      <x:c r="I16" s="31" t="n">
        <x:v>0</x:v>
      </x:c>
      <x:c r="J16" s="31" t="n">
        <x:v>0</x:v>
      </x:c>
      <x:c r="K16" s="30" t="str">
        <x:v>Load bus</x:v>
      </x:c>
    </x:row>
    <x:row r="17">
      <x:c r="A17" s="30" t="n">
        <x:v>14</x:v>
      </x:c>
      <x:c r="B17" s="30" t="str">
        <x:v>PQ</x:v>
      </x:c>
      <x:c r="C17" s="31" t="n">
        <x:v>14.9</x:v>
      </x:c>
      <x:c r="D17" s="31" t="n">
        <x:v>5</x:v>
      </x:c>
      <x:c r="E17" s="31" t="n">
        <x:v>0</x:v>
      </x:c>
      <x:c r="F17" s="31" t="n">
        <x:v>0</x:v>
      </x:c>
      <x:c r="G17" s="31" t="n">
        <x:v>1</x:v>
      </x:c>
      <x:c r="H17" s="31" t="n">
        <x:v>0</x:v>
      </x:c>
      <x:c r="I17" s="31" t="n">
        <x:v>0</x:v>
      </x:c>
      <x:c r="J17" s="31" t="n">
        <x:v>0</x:v>
      </x:c>
      <x:c r="K17" s="30" t="str">
        <x:v>Load bus</x:v>
      </x:c>
    </x:row>
  </x:sheetData>
  <x:mergeCells>
    <x:mergeCell ref="A1:K1"/>
  </x:mergeCells>
  <x:conditionalFormatting sqref="B4:B17">
    <x:cfRule type="expression" dxfId="0" priority="1">
      <x:formula>B4="Slack"</x:formula>
    </x:cfRule>
    <x:cfRule type="expression" dxfId="1" priority="2">
      <x:formula>B4="PV"</x:formula>
    </x:cfRule>
    <x:cfRule type="expression" dxfId="2" priority="3">
      <x:formula>B4="PQ"</x:formula>
    </x:cfRule>
  </x:conditionalFormatting>
  <x:dataValidations count="1">
    <x:dataValidation type="list" sqref="B4:B100">
      <x:formula1>"Slack,PV,PQ"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2" hidden="0" customWidth="1"/>
    <x:col min="4" max="4" width="12" hidden="0" customWidth="1"/>
    <x:col min="5" max="5" width="15" hidden="0" customWidth="1"/>
    <x:col min="6" max="6" width="13" hidden="0" customWidth="1"/>
    <x:col min="7" max="7" width="17" hidden="0" customWidth="1"/>
    <x:col min="8" max="8" width="10" hidden="0" customWidth="1"/>
    <x:col min="9" max="9" width="34" hidden="0" customWidth="1"/>
  </x:cols>
  <x:sheetData>
    <x:row r="1" ht="30" customHeight="1">
      <x:c r="A1" s="4" t="str">
        <x:v>IEEE 14-Bus Branch and Transformer Data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2" t="str">
        <x:v>FromBus</x:v>
      </x:c>
      <x:c r="B3" s="12" t="str">
        <x:v>ToBus</x:v>
      </x:c>
      <x:c r="C3" s="12" t="str">
        <x:v>R_pu</x:v>
      </x:c>
      <x:c r="D3" s="12" t="str">
        <x:v>X_pu</x:v>
      </x:c>
      <x:c r="E3" s="12" t="str">
        <x:v>B_total_pu</x:v>
      </x:c>
      <x:c r="F3" s="12" t="str">
        <x:v>TapRatio</x:v>
      </x:c>
      <x:c r="G3" s="12" t="str">
        <x:v>PhaseShift_deg</x:v>
      </x:c>
      <x:c r="H3" s="12" t="str">
        <x:v>Status</x:v>
      </x:c>
      <x:c r="I3" s="12" t="str">
        <x:v>Comment</x:v>
      </x:c>
    </x:row>
    <x:row r="4">
      <x:c r="A4" s="30" t="n">
        <x:v>1</x:v>
      </x:c>
      <x:c r="B4" s="30" t="n">
        <x:v>2</x:v>
      </x:c>
      <x:c r="C4" s="36" t="n">
        <x:v>0.01938</x:v>
      </x:c>
      <x:c r="D4" s="36" t="n">
        <x:v>0.05917</x:v>
      </x:c>
      <x:c r="E4" s="36" t="n">
        <x:v>0.0528</x:v>
      </x:c>
      <x:c r="F4" s="36" t="n">
        <x:v>0</x:v>
      </x:c>
      <x:c r="G4" s="36" t="n">
        <x:v>0</x:v>
      </x:c>
      <x:c r="H4" s="30" t="n">
        <x:v>1</x:v>
      </x:c>
      <x:c r="I4" s="30" t="str">
        <x:v>Transmission line</x:v>
      </x:c>
    </x:row>
    <x:row r="5">
      <x:c r="A5" s="30" t="n">
        <x:v>1</x:v>
      </x:c>
      <x:c r="B5" s="30" t="n">
        <x:v>5</x:v>
      </x:c>
      <x:c r="C5" s="36" t="n">
        <x:v>0.05403</x:v>
      </x:c>
      <x:c r="D5" s="36" t="n">
        <x:v>0.22304</x:v>
      </x:c>
      <x:c r="E5" s="36" t="n">
        <x:v>0.0492</x:v>
      </x:c>
      <x:c r="F5" s="36" t="n">
        <x:v>0</x:v>
      </x:c>
      <x:c r="G5" s="36" t="n">
        <x:v>0</x:v>
      </x:c>
      <x:c r="H5" s="30" t="n">
        <x:v>1</x:v>
      </x:c>
      <x:c r="I5" s="30" t="str">
        <x:v>Transmission line</x:v>
      </x:c>
    </x:row>
    <x:row r="6">
      <x:c r="A6" s="30" t="n">
        <x:v>2</x:v>
      </x:c>
      <x:c r="B6" s="30" t="n">
        <x:v>3</x:v>
      </x:c>
      <x:c r="C6" s="36" t="n">
        <x:v>0.04699</x:v>
      </x:c>
      <x:c r="D6" s="36" t="n">
        <x:v>0.19797</x:v>
      </x:c>
      <x:c r="E6" s="36" t="n">
        <x:v>0.0438</x:v>
      </x:c>
      <x:c r="F6" s="36" t="n">
        <x:v>0</x:v>
      </x:c>
      <x:c r="G6" s="36" t="n">
        <x:v>0</x:v>
      </x:c>
      <x:c r="H6" s="30" t="n">
        <x:v>1</x:v>
      </x:c>
      <x:c r="I6" s="30" t="str">
        <x:v>Transmission line</x:v>
      </x:c>
    </x:row>
    <x:row r="7">
      <x:c r="A7" s="30" t="n">
        <x:v>2</x:v>
      </x:c>
      <x:c r="B7" s="30" t="n">
        <x:v>4</x:v>
      </x:c>
      <x:c r="C7" s="36" t="n">
        <x:v>0.05811</x:v>
      </x:c>
      <x:c r="D7" s="36" t="n">
        <x:v>0.17632</x:v>
      </x:c>
      <x:c r="E7" s="36" t="n">
        <x:v>0.034</x:v>
      </x:c>
      <x:c r="F7" s="36" t="n">
        <x:v>0</x:v>
      </x:c>
      <x:c r="G7" s="36" t="n">
        <x:v>0</x:v>
      </x:c>
      <x:c r="H7" s="30" t="n">
        <x:v>1</x:v>
      </x:c>
      <x:c r="I7" s="30" t="str">
        <x:v>Transmission line</x:v>
      </x:c>
    </x:row>
    <x:row r="8">
      <x:c r="A8" s="30" t="n">
        <x:v>2</x:v>
      </x:c>
      <x:c r="B8" s="30" t="n">
        <x:v>5</x:v>
      </x:c>
      <x:c r="C8" s="36" t="n">
        <x:v>0.05695</x:v>
      </x:c>
      <x:c r="D8" s="36" t="n">
        <x:v>0.17388</x:v>
      </x:c>
      <x:c r="E8" s="36" t="n">
        <x:v>0.0346</x:v>
      </x:c>
      <x:c r="F8" s="36" t="n">
        <x:v>0</x:v>
      </x:c>
      <x:c r="G8" s="36" t="n">
        <x:v>0</x:v>
      </x:c>
      <x:c r="H8" s="30" t="n">
        <x:v>1</x:v>
      </x:c>
      <x:c r="I8" s="30" t="str">
        <x:v>Transmission line</x:v>
      </x:c>
    </x:row>
    <x:row r="9">
      <x:c r="A9" s="30" t="n">
        <x:v>3</x:v>
      </x:c>
      <x:c r="B9" s="30" t="n">
        <x:v>4</x:v>
      </x:c>
      <x:c r="C9" s="36" t="n">
        <x:v>0.06701</x:v>
      </x:c>
      <x:c r="D9" s="36" t="n">
        <x:v>0.17103</x:v>
      </x:c>
      <x:c r="E9" s="36" t="n">
        <x:v>0.0128</x:v>
      </x:c>
      <x:c r="F9" s="36" t="n">
        <x:v>0</x:v>
      </x:c>
      <x:c r="G9" s="36" t="n">
        <x:v>0</x:v>
      </x:c>
      <x:c r="H9" s="30" t="n">
        <x:v>1</x:v>
      </x:c>
      <x:c r="I9" s="30" t="str">
        <x:v>Transmission line</x:v>
      </x:c>
    </x:row>
    <x:row r="10">
      <x:c r="A10" s="30" t="n">
        <x:v>4</x:v>
      </x:c>
      <x:c r="B10" s="30" t="n">
        <x:v>5</x:v>
      </x:c>
      <x:c r="C10" s="36" t="n">
        <x:v>0.01335</x:v>
      </x:c>
      <x:c r="D10" s="36" t="n">
        <x:v>0.04211</x:v>
      </x:c>
      <x:c r="E10" s="36" t="n">
        <x:v>0</x:v>
      </x:c>
      <x:c r="F10" s="36" t="n">
        <x:v>0</x:v>
      </x:c>
      <x:c r="G10" s="36" t="n">
        <x:v>0</x:v>
      </x:c>
      <x:c r="H10" s="30" t="n">
        <x:v>1</x:v>
      </x:c>
      <x:c r="I10" s="30" t="str">
        <x:v>Transmission line</x:v>
      </x:c>
    </x:row>
    <x:row r="11">
      <x:c r="A11" s="30" t="n">
        <x:v>4</x:v>
      </x:c>
      <x:c r="B11" s="30" t="n">
        <x:v>7</x:v>
      </x:c>
      <x:c r="C11" s="36" t="n">
        <x:v>0</x:v>
      </x:c>
      <x:c r="D11" s="36" t="n">
        <x:v>0.20912</x:v>
      </x:c>
      <x:c r="E11" s="36" t="n">
        <x:v>0</x:v>
      </x:c>
      <x:c r="F11" s="36" t="n">
        <x:v>0.978</x:v>
      </x:c>
      <x:c r="G11" s="36" t="n">
        <x:v>0</x:v>
      </x:c>
      <x:c r="H11" s="30" t="n">
        <x:v>1</x:v>
      </x:c>
      <x:c r="I11" s="30" t="str">
        <x:v>Off-nominal transformer</x:v>
      </x:c>
    </x:row>
    <x:row r="12">
      <x:c r="A12" s="30" t="n">
        <x:v>4</x:v>
      </x:c>
      <x:c r="B12" s="30" t="n">
        <x:v>9</x:v>
      </x:c>
      <x:c r="C12" s="36" t="n">
        <x:v>0</x:v>
      </x:c>
      <x:c r="D12" s="36" t="n">
        <x:v>0.55618</x:v>
      </x:c>
      <x:c r="E12" s="36" t="n">
        <x:v>0</x:v>
      </x:c>
      <x:c r="F12" s="36" t="n">
        <x:v>0.969</x:v>
      </x:c>
      <x:c r="G12" s="36" t="n">
        <x:v>0</x:v>
      </x:c>
      <x:c r="H12" s="30" t="n">
        <x:v>1</x:v>
      </x:c>
      <x:c r="I12" s="30" t="str">
        <x:v>Off-nominal transformer</x:v>
      </x:c>
    </x:row>
    <x:row r="13">
      <x:c r="A13" s="30" t="n">
        <x:v>5</x:v>
      </x:c>
      <x:c r="B13" s="30" t="n">
        <x:v>6</x:v>
      </x:c>
      <x:c r="C13" s="36" t="n">
        <x:v>0</x:v>
      </x:c>
      <x:c r="D13" s="36" t="n">
        <x:v>0.25202</x:v>
      </x:c>
      <x:c r="E13" s="36" t="n">
        <x:v>0</x:v>
      </x:c>
      <x:c r="F13" s="36" t="n">
        <x:v>0.932</x:v>
      </x:c>
      <x:c r="G13" s="36" t="n">
        <x:v>0</x:v>
      </x:c>
      <x:c r="H13" s="30" t="n">
        <x:v>1</x:v>
      </x:c>
      <x:c r="I13" s="30" t="str">
        <x:v>Off-nominal transformer</x:v>
      </x:c>
    </x:row>
    <x:row r="14">
      <x:c r="A14" s="30" t="n">
        <x:v>6</x:v>
      </x:c>
      <x:c r="B14" s="30" t="n">
        <x:v>11</x:v>
      </x:c>
      <x:c r="C14" s="36" t="n">
        <x:v>0.09498</x:v>
      </x:c>
      <x:c r="D14" s="36" t="n">
        <x:v>0.1989</x:v>
      </x:c>
      <x:c r="E14" s="36" t="n">
        <x:v>0</x:v>
      </x:c>
      <x:c r="F14" s="36" t="n">
        <x:v>0</x:v>
      </x:c>
      <x:c r="G14" s="36" t="n">
        <x:v>0</x:v>
      </x:c>
      <x:c r="H14" s="30" t="n">
        <x:v>1</x:v>
      </x:c>
      <x:c r="I14" s="30" t="str">
        <x:v>Transmission line</x:v>
      </x:c>
    </x:row>
    <x:row r="15">
      <x:c r="A15" s="30" t="n">
        <x:v>6</x:v>
      </x:c>
      <x:c r="B15" s="30" t="n">
        <x:v>12</x:v>
      </x:c>
      <x:c r="C15" s="36" t="n">
        <x:v>0.12291</x:v>
      </x:c>
      <x:c r="D15" s="36" t="n">
        <x:v>0.25581</x:v>
      </x:c>
      <x:c r="E15" s="36" t="n">
        <x:v>0</x:v>
      </x:c>
      <x:c r="F15" s="36" t="n">
        <x:v>0</x:v>
      </x:c>
      <x:c r="G15" s="36" t="n">
        <x:v>0</x:v>
      </x:c>
      <x:c r="H15" s="30" t="n">
        <x:v>1</x:v>
      </x:c>
      <x:c r="I15" s="30" t="str">
        <x:v>Transmission line</x:v>
      </x:c>
    </x:row>
    <x:row r="16">
      <x:c r="A16" s="30" t="n">
        <x:v>6</x:v>
      </x:c>
      <x:c r="B16" s="30" t="n">
        <x:v>13</x:v>
      </x:c>
      <x:c r="C16" s="36" t="n">
        <x:v>0.06615</x:v>
      </x:c>
      <x:c r="D16" s="36" t="n">
        <x:v>0.13027</x:v>
      </x:c>
      <x:c r="E16" s="36" t="n">
        <x:v>0</x:v>
      </x:c>
      <x:c r="F16" s="36" t="n">
        <x:v>0</x:v>
      </x:c>
      <x:c r="G16" s="36" t="n">
        <x:v>0</x:v>
      </x:c>
      <x:c r="H16" s="30" t="n">
        <x:v>1</x:v>
      </x:c>
      <x:c r="I16" s="30" t="str">
        <x:v>Transmission line</x:v>
      </x:c>
    </x:row>
    <x:row r="17">
      <x:c r="A17" s="30" t="n">
        <x:v>7</x:v>
      </x:c>
      <x:c r="B17" s="30" t="n">
        <x:v>8</x:v>
      </x:c>
      <x:c r="C17" s="36" t="n">
        <x:v>0</x:v>
      </x:c>
      <x:c r="D17" s="36" t="n">
        <x:v>0.17615</x:v>
      </x:c>
      <x:c r="E17" s="36" t="n">
        <x:v>0</x:v>
      </x:c>
      <x:c r="F17" s="36" t="n">
        <x:v>0</x:v>
      </x:c>
      <x:c r="G17" s="36" t="n">
        <x:v>0</x:v>
      </x:c>
      <x:c r="H17" s="30" t="n">
        <x:v>1</x:v>
      </x:c>
      <x:c r="I17" s="30" t="str">
        <x:v>Transmission line</x:v>
      </x:c>
    </x:row>
    <x:row r="18">
      <x:c r="A18" s="30" t="n">
        <x:v>7</x:v>
      </x:c>
      <x:c r="B18" s="30" t="n">
        <x:v>9</x:v>
      </x:c>
      <x:c r="C18" s="36" t="n">
        <x:v>0</x:v>
      </x:c>
      <x:c r="D18" s="36" t="n">
        <x:v>0.11001</x:v>
      </x:c>
      <x:c r="E18" s="36" t="n">
        <x:v>0</x:v>
      </x:c>
      <x:c r="F18" s="36" t="n">
        <x:v>0</x:v>
      </x:c>
      <x:c r="G18" s="36" t="n">
        <x:v>0</x:v>
      </x:c>
      <x:c r="H18" s="30" t="n">
        <x:v>1</x:v>
      </x:c>
      <x:c r="I18" s="30" t="str">
        <x:v>Transmission line</x:v>
      </x:c>
    </x:row>
    <x:row r="19">
      <x:c r="A19" s="30" t="n">
        <x:v>9</x:v>
      </x:c>
      <x:c r="B19" s="30" t="n">
        <x:v>10</x:v>
      </x:c>
      <x:c r="C19" s="36" t="n">
        <x:v>0.03181</x:v>
      </x:c>
      <x:c r="D19" s="36" t="n">
        <x:v>0.0845</x:v>
      </x:c>
      <x:c r="E19" s="36" t="n">
        <x:v>0</x:v>
      </x:c>
      <x:c r="F19" s="36" t="n">
        <x:v>0</x:v>
      </x:c>
      <x:c r="G19" s="36" t="n">
        <x:v>0</x:v>
      </x:c>
      <x:c r="H19" s="30" t="n">
        <x:v>1</x:v>
      </x:c>
      <x:c r="I19" s="30" t="str">
        <x:v>Transmission line</x:v>
      </x:c>
    </x:row>
    <x:row r="20">
      <x:c r="A20" s="30" t="n">
        <x:v>9</x:v>
      </x:c>
      <x:c r="B20" s="30" t="n">
        <x:v>14</x:v>
      </x:c>
      <x:c r="C20" s="36" t="n">
        <x:v>0.12711</x:v>
      </x:c>
      <x:c r="D20" s="36" t="n">
        <x:v>0.27038</x:v>
      </x:c>
      <x:c r="E20" s="36" t="n">
        <x:v>0</x:v>
      </x:c>
      <x:c r="F20" s="36" t="n">
        <x:v>0</x:v>
      </x:c>
      <x:c r="G20" s="36" t="n">
        <x:v>0</x:v>
      </x:c>
      <x:c r="H20" s="30" t="n">
        <x:v>1</x:v>
      </x:c>
      <x:c r="I20" s="30" t="str">
        <x:v>Transmission line</x:v>
      </x:c>
    </x:row>
    <x:row r="21">
      <x:c r="A21" s="30" t="n">
        <x:v>10</x:v>
      </x:c>
      <x:c r="B21" s="30" t="n">
        <x:v>11</x:v>
      </x:c>
      <x:c r="C21" s="36" t="n">
        <x:v>0.08205</x:v>
      </x:c>
      <x:c r="D21" s="36" t="n">
        <x:v>0.19207</x:v>
      </x:c>
      <x:c r="E21" s="36" t="n">
        <x:v>0</x:v>
      </x:c>
      <x:c r="F21" s="36" t="n">
        <x:v>0</x:v>
      </x:c>
      <x:c r="G21" s="36" t="n">
        <x:v>0</x:v>
      </x:c>
      <x:c r="H21" s="30" t="n">
        <x:v>1</x:v>
      </x:c>
      <x:c r="I21" s="30" t="str">
        <x:v>Transmission line</x:v>
      </x:c>
    </x:row>
    <x:row r="22">
      <x:c r="A22" s="30" t="n">
        <x:v>12</x:v>
      </x:c>
      <x:c r="B22" s="30" t="n">
        <x:v>13</x:v>
      </x:c>
      <x:c r="C22" s="36" t="n">
        <x:v>0.22092</x:v>
      </x:c>
      <x:c r="D22" s="36" t="n">
        <x:v>0.19988</x:v>
      </x:c>
      <x:c r="E22" s="36" t="n">
        <x:v>0</x:v>
      </x:c>
      <x:c r="F22" s="36" t="n">
        <x:v>0</x:v>
      </x:c>
      <x:c r="G22" s="36" t="n">
        <x:v>0</x:v>
      </x:c>
      <x:c r="H22" s="30" t="n">
        <x:v>1</x:v>
      </x:c>
      <x:c r="I22" s="30" t="str">
        <x:v>Transmission line</x:v>
      </x:c>
    </x:row>
    <x:row r="23">
      <x:c r="A23" s="30" t="n">
        <x:v>13</x:v>
      </x:c>
      <x:c r="B23" s="30" t="n">
        <x:v>14</x:v>
      </x:c>
      <x:c r="C23" s="36" t="n">
        <x:v>0.17093</x:v>
      </x:c>
      <x:c r="D23" s="36" t="n">
        <x:v>0.34802</x:v>
      </x:c>
      <x:c r="E23" s="36" t="n">
        <x:v>0</x:v>
      </x:c>
      <x:c r="F23" s="36" t="n">
        <x:v>0</x:v>
      </x:c>
      <x:c r="G23" s="36" t="n">
        <x:v>0</x:v>
      </x:c>
      <x:c r="H23" s="30" t="n">
        <x:v>1</x:v>
      </x:c>
      <x:c r="I23" s="30" t="str">
        <x:v>Transmission line</x:v>
      </x:c>
    </x:row>
  </x:sheetData>
  <x:mergeCells>
    <x:mergeCell ref="A1:I1"/>
  </x:mergeCells>
  <x:dataValidations count="1">
    <x:dataValidation type="list" sqref="H4:H100">
      <x:formula1>"1,0"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7" hidden="0" customWidth="1"/>
    <x:col min="3" max="3" width="4" hidden="0" customWidth="1"/>
    <x:col min="4" max="4" width="25" hidden="0" customWidth="1"/>
    <x:col min="5" max="5" width="17" hidden="0" customWidth="1"/>
    <x:col min="6" max="6" width="15" hidden="0" customWidth="1"/>
    <x:col min="7" max="7" width="31" hidden="0" customWidth="1"/>
    <x:col min="8" max="8" width="42" hidden="0" customWidth="1"/>
  </x:cols>
  <x:sheetData>
    <x:row r="1" ht="30" customHeight="1">
      <x:c r="A1" s="4" t="str">
        <x:v>Project Input Summary and Expected Baseline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Input Summary</x:v>
      </x:c>
      <x:c r="B3" s="12" t="str">
        <x:v>Value</x:v>
      </x:c>
      <x:c r="D3" s="12" t="str">
        <x:v>Expected baseline</x:v>
      </x:c>
      <x:c r="E3" s="12" t="str">
        <x:v>Expected value</x:v>
      </x:c>
      <x:c r="F3" s="12" t="str">
        <x:v>Unit</x:v>
      </x:c>
      <x:c r="G3" s="12" t="str">
        <x:v>Purpose</x:v>
      </x:c>
      <x:c r="H3" s="12" t="str">
        <x:v>Tolerance note</x:v>
      </x:c>
    </x:row>
    <x:row r="4">
      <x:c r="A4" t="str">
        <x:v>Number of buses</x:v>
      </x:c>
      <x:c r="B4" s="28" t="n">
        <x:f>COUNTA(Buses!A4:A100)</x:f>
        <x:v>14</x:v>
      </x:c>
      <x:c r="D4" t="str">
        <x:v>Convergence</x:v>
      </x:c>
      <x:c r="E4" t="str">
        <x:v>Yes</x:v>
      </x:c>
      <x:c r="F4" t="str">
        <x:v>-</x:v>
      </x:c>
      <x:c r="G4" t="str">
        <x:v>Solver health check</x:v>
      </x:c>
      <x:c r="H4" t="str">
        <x:v>Should converge from supplied initial guess</x:v>
      </x:c>
    </x:row>
    <x:row r="5">
      <x:c r="A5" t="str">
        <x:v>Number of branches</x:v>
      </x:c>
      <x:c r="B5" s="28" t="n">
        <x:f>COUNTA(Branches!A4:A100)</x:f>
        <x:v>20</x:v>
      </x:c>
      <x:c r="D5" t="str">
        <x:v>Iterations</x:v>
      </x:c>
      <x:c r="E5" s="28" t="n">
        <x:v>5</x:v>
      </x:c>
      <x:c r="F5" t="str">
        <x:v>iterations</x:v>
      </x:c>
      <x:c r="G5" t="str">
        <x:v>Newton-Raphson performance</x:v>
      </x:c>
      <x:c r="H5" t="str">
        <x:v>May differ by one depending on stopping convention</x:v>
      </x:c>
    </x:row>
    <x:row r="6">
      <x:c r="A6" t="str">
        <x:v>Slack buses</x:v>
      </x:c>
      <x:c r="B6" s="28" t="n">
        <x:f>COUNTIF(Buses!B4:B100,"Slack")</x:f>
        <x:v>1</x:v>
      </x:c>
      <x:c r="D6" t="str">
        <x:v>Total active loss</x:v>
      </x:c>
      <x:c r="E6" s="28" t="n">
        <x:v>13.3933</x:v>
      </x:c>
      <x:c r="F6" t="str">
        <x:v>MW</x:v>
      </x:c>
      <x:c r="G6" t="str">
        <x:v>Network loss validation</x:v>
      </x:c>
      <x:c r="H6" t="str">
        <x:v>Small floating-point differences are normal</x:v>
      </x:c>
    </x:row>
    <x:row r="7">
      <x:c r="A7" t="str">
        <x:v>PV buses</x:v>
      </x:c>
      <x:c r="B7" s="28" t="n">
        <x:f>COUNTIF(Buses!B4:B100,"PV")</x:f>
        <x:v>4</x:v>
      </x:c>
      <x:c r="D7" t="str">
        <x:v>Minimum voltage</x:v>
      </x:c>
      <x:c r="E7" s="28" t="n">
        <x:v>1.01</x:v>
      </x:c>
      <x:c r="F7" t="str">
        <x:v>p.u.</x:v>
      </x:c>
      <x:c r="G7" t="str">
        <x:v>Voltage profile check</x:v>
      </x:c>
      <x:c r="H7" t="str">
        <x:v>Expected near bus 3</x:v>
      </x:c>
    </x:row>
    <x:row r="8">
      <x:c r="A8" t="str">
        <x:v>PQ buses</x:v>
      </x:c>
      <x:c r="B8" s="28" t="n">
        <x:f>COUNTIF(Buses!B4:B100,"PQ")</x:f>
        <x:v>9</x:v>
      </x:c>
      <x:c r="D8" t="str">
        <x:v>Maximum voltage</x:v>
      </x:c>
      <x:c r="E8" s="28" t="n">
        <x:v>1.09</x:v>
      </x:c>
      <x:c r="F8" t="str">
        <x:v>p.u.</x:v>
      </x:c>
      <x:c r="G8" t="str">
        <x:v>Voltage profile check</x:v>
      </x:c>
      <x:c r="H8" t="str">
        <x:v>Fixed PV voltage at bus 8</x:v>
      </x:c>
    </x:row>
    <x:row r="9">
      <x:c r="A9" t="str">
        <x:v>Total active load (MW)</x:v>
      </x:c>
      <x:c r="B9" s="28" t="n">
        <x:f>SUM(Buses!C4:C100)</x:f>
        <x:v>258.99999999999994</x:v>
      </x:c>
      <x:c r="D9" t="str">
        <x:v>Voltage alerts</x:v>
      </x:c>
      <x:c r="E9" s="28" t="n">
        <x:v>3</x:v>
      </x:c>
      <x:c r="F9" t="str">
        <x:v>buses</x:v>
      </x:c>
      <x:c r="G9" t="str">
        <x:v>Warning feature check</x:v>
      </x:c>
      <x:c r="H9" t="str">
        <x:v>Buses above the 1.06 p.u. warning threshold</x:v>
      </x:c>
    </x:row>
    <x:row r="10">
      <x:c r="A10" t="str">
        <x:v>Total reactive load (Mvar)</x:v>
      </x:c>
      <x:c r="B10" s="28" t="n">
        <x:f>SUM(Buses!D4:D100)</x:f>
        <x:v>73.5</x:v>
      </x:c>
    </x:row>
    <x:row r="11">
      <x:c r="A11" t="str">
        <x:v>In-service branches</x:v>
      </x:c>
      <x:c r="B11" s="28" t="n">
        <x:f>COUNTIF(Branches!H4:H100,1)</x:f>
        <x:v>20</x:v>
      </x:c>
    </x:row>
    <x:row r="13">
      <x:c r="A13" s="24" t="str">
        <x:v>Data source: MATPOWER official case14.m, converted from IEEE Common Data Format. The included solver is independent and does not require MATPOWER.</x:v>
      </x:c>
      <x:c r="B13" s="24"/>
      <x:c r="C13" s="24"/>
      <x:c r="D13" s="24"/>
      <x:c r="E13" s="24"/>
      <x:c r="F13" s="24"/>
      <x:c r="G13" s="24"/>
      <x:c r="H13" s="24"/>
    </x:row>
    <x:row r="14">
      <x:c r="A14" s="24"/>
      <x:c r="B14" s="24"/>
      <x:c r="C14" s="24"/>
      <x:c r="D14" s="24"/>
      <x:c r="E14" s="24"/>
      <x:c r="F14" s="24"/>
      <x:c r="G14" s="24"/>
      <x:c r="H14" s="24"/>
    </x:row>
    <x:row r="15">
      <x:c r="A15" s="24"/>
      <x:c r="B15" s="24"/>
      <x:c r="C15" s="24"/>
      <x:c r="D15" s="24"/>
      <x:c r="E15" s="24"/>
      <x:c r="F15" s="24"/>
      <x:c r="G15" s="24"/>
      <x:c r="H15" s="24"/>
    </x:row>
  </x:sheetData>
  <x:mergeCells>
    <x:mergeCell ref="A1:H1"/>
    <x:mergeCell ref="A13:H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6" hidden="0" customWidth="1"/>
    <x:col min="3" max="3" width="43" hidden="0" customWidth="1"/>
    <x:col min="4" max="4" width="16" hidden="0" customWidth="1"/>
    <x:col min="5" max="5" width="13" hidden="0" customWidth="1"/>
    <x:col min="6" max="6" width="50" hidden="0" customWidth="1"/>
  </x:cols>
  <x:sheetData>
    <x:row r="1" ht="30" customHeight="1">
      <x:c r="A1" s="4" t="str">
        <x:v>Excel Field Guide</x:v>
      </x:c>
      <x:c r="B1" s="4"/>
      <x:c r="C1" s="4"/>
      <x:c r="D1" s="4"/>
      <x:c r="E1" s="4"/>
      <x:c r="F1" s="4"/>
    </x:row>
    <x:row r="3">
      <x:c r="A3" s="12" t="str">
        <x:v>Sheet</x:v>
      </x:c>
      <x:c r="B3" s="12" t="str">
        <x:v>Field</x:v>
      </x:c>
      <x:c r="C3" s="12" t="str">
        <x:v>Meaning</x:v>
      </x:c>
      <x:c r="D3" s="12" t="str">
        <x:v>Unit</x:v>
      </x:c>
      <x:c r="E3" s="12" t="str">
        <x:v>Editable?</x:v>
      </x:c>
      <x:c r="F3" s="12" t="str">
        <x:v>Important note</x:v>
      </x:c>
    </x:row>
    <x:row r="4">
      <x:c r="A4" s="30" t="str">
        <x:v>Settings</x:v>
      </x:c>
      <x:c r="B4" s="30" t="str">
        <x:v>BaseMVA</x:v>
      </x:c>
      <x:c r="C4" s="30" t="str">
        <x:v>System base apparent power</x:v>
      </x:c>
      <x:c r="D4" s="30" t="str">
        <x:v>MVA</x:v>
      </x:c>
      <x:c r="E4" s="30" t="str">
        <x:v>Yes</x:v>
      </x:c>
      <x:c r="F4" s="30" t="str">
        <x:v>MW and Mvar values are converted to per unit</x:v>
      </x:c>
    </x:row>
    <x:row r="5">
      <x:c r="A5" s="30" t="str">
        <x:v>Settings</x:v>
      </x:c>
      <x:c r="B5" s="30" t="str">
        <x:v>Tolerance_pu</x:v>
      </x:c>
      <x:c r="C5" s="30" t="str">
        <x:v>Maximum allowed power mismatch</x:v>
      </x:c>
      <x:c r="D5" s="30" t="str">
        <x:v>p.u.</x:v>
      </x:c>
      <x:c r="E5" s="30" t="str">
        <x:v>Yes</x:v>
      </x:c>
      <x:c r="F5" s="30" t="str">
        <x:v>1e-8 is suitable for this small system</x:v>
      </x:c>
    </x:row>
    <x:row r="6">
      <x:c r="A6" s="30" t="str">
        <x:v>Buses</x:v>
      </x:c>
      <x:c r="B6" s="30" t="str">
        <x:v>BusType</x:v>
      </x:c>
      <x:c r="C6" s="30" t="str">
        <x:v>Slack, PV or PQ classification</x:v>
      </x:c>
      <x:c r="D6" s="30" t="str">
        <x:v>-</x:v>
      </x:c>
      <x:c r="E6" s="30" t="str">
        <x:v>Yes</x:v>
      </x:c>
      <x:c r="F6" s="30" t="str">
        <x:v>Exactly one Slack bus is required</x:v>
      </x:c>
    </x:row>
    <x:row r="7">
      <x:c r="A7" s="30" t="str">
        <x:v>Buses</x:v>
      </x:c>
      <x:c r="B7" s="30" t="str">
        <x:v>Pd_MW / Qd_Mvar</x:v>
      </x:c>
      <x:c r="C7" s="30" t="str">
        <x:v>Active and reactive load</x:v>
      </x:c>
      <x:c r="D7" s="30" t="str">
        <x:v>MW / Mvar</x:v>
      </x:c>
      <x:c r="E7" s="30" t="str">
        <x:v>Yes</x:v>
      </x:c>
      <x:c r="F7" s="30" t="str">
        <x:v>Positive values represent demand</x:v>
      </x:c>
    </x:row>
    <x:row r="8">
      <x:c r="A8" s="30" t="str">
        <x:v>Buses</x:v>
      </x:c>
      <x:c r="B8" s="30" t="str">
        <x:v>Pg_MW / Qg_Mvar</x:v>
      </x:c>
      <x:c r="C8" s="30" t="str">
        <x:v>Specified generation</x:v>
      </x:c>
      <x:c r="D8" s="30" t="str">
        <x:v>MW / Mvar</x:v>
      </x:c>
      <x:c r="E8" s="30" t="str">
        <x:v>Yes</x:v>
      </x:c>
      <x:c r="F8" s="30" t="str">
        <x:v>Slack Pg/Qg and PV Qg are calculated</x:v>
      </x:c>
    </x:row>
    <x:row r="9">
      <x:c r="A9" s="30" t="str">
        <x:v>Buses</x:v>
      </x:c>
      <x:c r="B9" s="30" t="str">
        <x:v>VmInitial_pu</x:v>
      </x:c>
      <x:c r="C9" s="30" t="str">
        <x:v>Initial voltage magnitude; fixed for Slack/PV</x:v>
      </x:c>
      <x:c r="D9" s="30" t="str">
        <x:v>p.u.</x:v>
      </x:c>
      <x:c r="E9" s="30" t="str">
        <x:v>Yes</x:v>
      </x:c>
      <x:c r="F9" s="30" t="str">
        <x:v>PQ magnitudes are updated</x:v>
      </x:c>
    </x:row>
    <x:row r="10">
      <x:c r="A10" s="30" t="str">
        <x:v>Buses</x:v>
      </x:c>
      <x:c r="B10" s="30" t="str">
        <x:v>Bs_Mvar</x:v>
      </x:c>
      <x:c r="C10" s="30" t="str">
        <x:v>Bus shunt susceptance at 1 p.u.</x:v>
      </x:c>
      <x:c r="D10" s="30" t="str">
        <x:v>Mvar</x:v>
      </x:c>
      <x:c r="E10" s="30" t="str">
        <x:v>Yes</x:v>
      </x:c>
      <x:c r="F10" s="30" t="str">
        <x:v>Uses the case-data sign convention</x:v>
      </x:c>
    </x:row>
    <x:row r="11">
      <x:c r="A11" s="30" t="str">
        <x:v>Branches</x:v>
      </x:c>
      <x:c r="B11" s="30" t="str">
        <x:v>R_pu / X_pu</x:v>
      </x:c>
      <x:c r="C11" s="30" t="str">
        <x:v>Series impedance</x:v>
      </x:c>
      <x:c r="D11" s="30" t="str">
        <x:v>p.u.</x:v>
      </x:c>
      <x:c r="E11" s="30" t="str">
        <x:v>Yes</x:v>
      </x:c>
      <x:c r="F11" s="30" t="str">
        <x:v>At least one must be nonzero</x:v>
      </x:c>
    </x:row>
    <x:row r="12">
      <x:c r="A12" s="30" t="str">
        <x:v>Branches</x:v>
      </x:c>
      <x:c r="B12" s="30" t="str">
        <x:v>B_total_pu</x:v>
      </x:c>
      <x:c r="C12" s="30" t="str">
        <x:v>Total line charging susceptance</x:v>
      </x:c>
      <x:c r="D12" s="30" t="str">
        <x:v>p.u.</x:v>
      </x:c>
      <x:c r="E12" s="30" t="str">
        <x:v>Yes</x:v>
      </x:c>
      <x:c r="F12" s="30" t="str">
        <x:v>Half is placed at each end</x:v>
      </x:c>
    </x:row>
    <x:row r="13">
      <x:c r="A13" s="30" t="str">
        <x:v>Branches</x:v>
      </x:c>
      <x:c r="B13" s="30" t="str">
        <x:v>TapRatio</x:v>
      </x:c>
      <x:c r="C13" s="30" t="str">
        <x:v>Off-nominal transformer tap</x:v>
      </x:c>
      <x:c r="D13" s="30" t="str">
        <x:v>p.u.</x:v>
      </x:c>
      <x:c r="E13" s="30" t="str">
        <x:v>Yes</x:v>
      </x:c>
      <x:c r="F13" s="30" t="str">
        <x:v>Enter 0 for a normal 1.0 tap</x:v>
      </x:c>
    </x:row>
    <x:row r="14">
      <x:c r="A14" s="30" t="str">
        <x:v>Branches</x:v>
      </x:c>
      <x:c r="B14" s="30" t="str">
        <x:v>Status</x:v>
      </x:c>
      <x:c r="C14" s="30" t="str">
        <x:v>Branch in service</x:v>
      </x:c>
      <x:c r="D14" s="30" t="str">
        <x:v>1 / 0</x:v>
      </x:c>
      <x:c r="E14" s="30" t="str">
        <x:v>Yes</x:v>
      </x:c>
      <x:c r="F14" s="30" t="str">
        <x:v>Set to 0 to open the branch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68" hidden="0" customWidth="1"/>
    <x:col min="3" max="3" width="37" hidden="0" customWidth="1"/>
    <x:col min="4" max="4" width="43" hidden="0" customWidth="1"/>
  </x:cols>
  <x:sheetData>
    <x:row r="1" ht="30" customHeight="1">
      <x:c r="A1" s="4" t="str">
        <x:v>Data and Documentation Sources</x:v>
      </x:c>
      <x:c r="B1" s="4"/>
      <x:c r="C1" s="4"/>
      <x:c r="D1" s="4"/>
    </x:row>
    <x:row r="3">
      <x:c r="A3" s="12" t="str">
        <x:v>Source</x:v>
      </x:c>
      <x:c r="B3" s="12" t="str">
        <x:v>URL</x:v>
      </x:c>
      <x:c r="C3" s="12" t="str">
        <x:v>Used for</x:v>
      </x:c>
      <x:c r="D3" s="12" t="str">
        <x:v>Note</x:v>
      </x:c>
    </x:row>
    <x:row r="4">
      <x:c r="A4" s="30" t="str">
        <x:v>MATPOWER case14.m</x:v>
      </x:c>
      <x:c r="B4" s="30" t="str">
        <x:v>https://github.com/MATPOWER/matpower/blob/master/data/case14.m</x:v>
      </x:c>
      <x:c r="C4" s="30" t="str">
        <x:v>IEEE 14-bus data</x:v>
      </x:c>
      <x:c r="D4" s="30" t="str">
        <x:v>Official MATPOWER repository</x:v>
      </x:c>
    </x:row>
    <x:row r="5">
      <x:c r="A5" s="30" t="str">
        <x:v>MATPOWER case14 reference</x:v>
      </x:c>
      <x:c r="B5" s="30" t="str">
        <x:v>https://matpower.org/docs/ref/matpower5.0/case14.html</x:v>
      </x:c>
      <x:c r="C5" s="30" t="str">
        <x:v>Case description and provenance</x:v>
      </x:c>
      <x:c r="D5" s="30" t="str">
        <x:v>Converted from IEEE Common Data Format</x:v>
      </x:c>
    </x:row>
    <x:row r="6">
      <x:c r="A6" s="30" t="str">
        <x:v>MATLAB readtable</x:v>
      </x:c>
      <x:c r="B6" s="30" t="str">
        <x:v>https://www.mathworks.com/help/matlab/ref/readtable.html</x:v>
      </x:c>
      <x:c r="C6" s="30" t="str">
        <x:v>Spreadsheet input</x:v>
      </x:c>
      <x:c r="D6" s="30" t="str">
        <x:v>Official MathWorks documentation</x:v>
      </x:c>
    </x:row>
    <x:row r="7">
      <x:c r="A7" s="30" t="str">
        <x:v>MATLAB writetable</x:v>
      </x:c>
      <x:c r="B7" s="30" t="str">
        <x:v>https://www.mathworks.com/help/matlab/ref/writetable.html</x:v>
      </x:c>
      <x:c r="C7" s="30" t="str">
        <x:v>Excel and CSV export</x:v>
      </x:c>
      <x:c r="D7" s="30" t="str">
        <x:v>Official MathWorks documentation</x:v>
      </x:c>
    </x:row>
  </x:sheetData>
  <x:mergeCells>
    <x:mergeCell ref="A1:D1"/>
  </x:mergeCells>
  <x:pageMargins left="0.7" right="0.7" top="0.75" bottom="0.75" header="0.3" footer="0.3"/>
</x:worksheet>
</file>